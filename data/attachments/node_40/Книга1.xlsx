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ea3331ec2a5191/Рабочий стол/"/>
    </mc:Choice>
  </mc:AlternateContent>
  <xr:revisionPtr revIDLastSave="37" documentId="8_{85623F7F-A0A5-43B2-AD26-344AA7515DC0}" xr6:coauthVersionLast="47" xr6:coauthVersionMax="47" xr10:uidLastSave="{A105EC58-6DB6-40A7-A86C-11A2D076D6BA}"/>
  <bookViews>
    <workbookView xWindow="-108" yWindow="-108" windowWidth="23256" windowHeight="12456" activeTab="1" xr2:uid="{A9BB281F-E8D7-493C-BCE2-A72ABF3D98D5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3" i="2"/>
  <c r="F16" i="1"/>
  <c r="F17" i="1"/>
  <c r="F18" i="1"/>
  <c r="F19" i="1"/>
  <c r="F20" i="1"/>
  <c r="F21" i="1"/>
  <c r="F22" i="1"/>
  <c r="F23" i="1"/>
  <c r="F24" i="1"/>
  <c r="F25" i="1"/>
  <c r="F15" i="1"/>
  <c r="F2" i="1"/>
  <c r="F3" i="1"/>
  <c r="F4" i="1"/>
  <c r="F5" i="1"/>
  <c r="F6" i="1"/>
  <c r="F7" i="1"/>
  <c r="F8" i="1"/>
  <c r="F9" i="1"/>
  <c r="F10" i="1"/>
  <c r="F11" i="1"/>
  <c r="F12" i="1"/>
</calcChain>
</file>

<file path=xl/sharedStrings.xml><?xml version="1.0" encoding="utf-8"?>
<sst xmlns="http://schemas.openxmlformats.org/spreadsheetml/2006/main" count="28" uniqueCount="16">
  <si>
    <t>Номер заказа</t>
  </si>
  <si>
    <t>Дата продажи</t>
  </si>
  <si>
    <t>Код продукта</t>
  </si>
  <si>
    <t>C6077B</t>
  </si>
  <si>
    <t>C9250LB</t>
  </si>
  <si>
    <t>M115A</t>
  </si>
  <si>
    <t>A760G</t>
  </si>
  <si>
    <t>E3331</t>
  </si>
  <si>
    <t>SP1447</t>
  </si>
  <si>
    <t>L88M</t>
  </si>
  <si>
    <t>S1018MM</t>
  </si>
  <si>
    <t>D534X</t>
  </si>
  <si>
    <t>Стул на колесиках</t>
  </si>
  <si>
    <t>Табурет</t>
  </si>
  <si>
    <t>Стул руководителя</t>
  </si>
  <si>
    <t>Кресло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</si>
</sst>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F738-3784-4968-B624-F83CDA81731A}">
  <dimension ref="A1:R25"/>
  <sheetViews>
    <sheetView topLeftCell="B4" workbookViewId="0">
      <selection activeCell="R15" sqref="R15"/>
    </sheetView>
  </sheetViews>
  <sheetFormatPr defaultRowHeight="14.4" x14ac:dyDescent="0.3"/>
  <cols>
    <col min="2" max="2" width="13.33203125" bestFit="1" customWidth="1"/>
  </cols>
  <sheetData>
    <row r="1" spans="1:18" x14ac:dyDescent="0.3">
      <c r="A1" t="s">
        <v>0</v>
      </c>
      <c r="B1" t="s">
        <v>1</v>
      </c>
      <c r="C1" t="s">
        <v>2</v>
      </c>
    </row>
    <row r="2" spans="1:18" x14ac:dyDescent="0.3">
      <c r="A2">
        <v>20050</v>
      </c>
      <c r="B2" s="1">
        <v>41672</v>
      </c>
      <c r="C2" t="s">
        <v>3</v>
      </c>
      <c r="E2">
        <v>20050</v>
      </c>
      <c r="F2">
        <f>IF(VLOOKUP(E2,$H$2:$J$10,2,0)=0,VLOOKUP(E2,$N$2:$P$10,2,0),VLOOKUP(E2,$H$2:$J$10,2,0))</f>
        <v>447</v>
      </c>
      <c r="H2">
        <v>20050</v>
      </c>
      <c r="I2">
        <v>447</v>
      </c>
      <c r="N2">
        <v>20050</v>
      </c>
      <c r="Q2">
        <v>20050</v>
      </c>
    </row>
    <row r="3" spans="1:18" x14ac:dyDescent="0.3">
      <c r="A3">
        <v>20050</v>
      </c>
      <c r="B3" s="1">
        <v>41672</v>
      </c>
      <c r="C3" t="s">
        <v>4</v>
      </c>
      <c r="E3">
        <v>20050</v>
      </c>
      <c r="F3">
        <f t="shared" ref="F3:F12" si="0">IF(VLOOKUP(E3,$H$2:$J$10,2,0)=0,VLOOKUP(E3,$N$2:$P$10,2,0),VLOOKUP(E3,$H$2:$J$10,2,0))</f>
        <v>447</v>
      </c>
      <c r="H3">
        <v>20051</v>
      </c>
      <c r="N3">
        <v>20051</v>
      </c>
      <c r="O3">
        <v>398</v>
      </c>
      <c r="Q3">
        <v>20051</v>
      </c>
      <c r="R3">
        <v>398</v>
      </c>
    </row>
    <row r="4" spans="1:18" x14ac:dyDescent="0.3">
      <c r="A4">
        <v>20051</v>
      </c>
      <c r="B4" s="1">
        <v>41672</v>
      </c>
      <c r="C4" t="s">
        <v>5</v>
      </c>
      <c r="E4">
        <v>20051</v>
      </c>
      <c r="F4">
        <f t="shared" si="0"/>
        <v>398</v>
      </c>
      <c r="H4">
        <v>20052</v>
      </c>
      <c r="N4">
        <v>20052</v>
      </c>
      <c r="O4">
        <v>1006</v>
      </c>
      <c r="Q4">
        <v>20052</v>
      </c>
    </row>
    <row r="5" spans="1:18" x14ac:dyDescent="0.3">
      <c r="A5">
        <v>20052</v>
      </c>
      <c r="B5" s="1">
        <v>41673</v>
      </c>
      <c r="C5" t="s">
        <v>6</v>
      </c>
      <c r="E5">
        <v>20052</v>
      </c>
      <c r="F5">
        <f t="shared" si="0"/>
        <v>1006</v>
      </c>
      <c r="H5">
        <v>20053</v>
      </c>
      <c r="I5">
        <v>447</v>
      </c>
      <c r="N5">
        <v>20053</v>
      </c>
      <c r="Q5">
        <v>20053</v>
      </c>
    </row>
    <row r="6" spans="1:18" x14ac:dyDescent="0.3">
      <c r="A6">
        <v>20052</v>
      </c>
      <c r="B6" s="1">
        <v>41673</v>
      </c>
      <c r="C6" t="s">
        <v>7</v>
      </c>
      <c r="E6">
        <v>20052</v>
      </c>
      <c r="F6">
        <f t="shared" si="0"/>
        <v>1006</v>
      </c>
      <c r="H6">
        <v>20054</v>
      </c>
      <c r="I6">
        <v>885</v>
      </c>
      <c r="N6">
        <v>20054</v>
      </c>
      <c r="Q6">
        <v>20054</v>
      </c>
    </row>
    <row r="7" spans="1:18" x14ac:dyDescent="0.3">
      <c r="A7">
        <v>20052</v>
      </c>
      <c r="B7" s="1">
        <v>41673</v>
      </c>
      <c r="C7" t="s">
        <v>8</v>
      </c>
      <c r="E7">
        <v>20052</v>
      </c>
      <c r="F7">
        <f t="shared" si="0"/>
        <v>1006</v>
      </c>
      <c r="H7">
        <v>20055</v>
      </c>
      <c r="N7">
        <v>20055</v>
      </c>
      <c r="O7">
        <v>398</v>
      </c>
      <c r="Q7">
        <v>20055</v>
      </c>
      <c r="R7">
        <v>398</v>
      </c>
    </row>
    <row r="8" spans="1:18" x14ac:dyDescent="0.3">
      <c r="A8">
        <v>20053</v>
      </c>
      <c r="B8" s="1">
        <v>41673</v>
      </c>
      <c r="C8" t="s">
        <v>9</v>
      </c>
      <c r="E8">
        <v>20053</v>
      </c>
      <c r="F8">
        <f t="shared" si="0"/>
        <v>447</v>
      </c>
      <c r="H8">
        <v>20056</v>
      </c>
      <c r="I8">
        <v>644</v>
      </c>
      <c r="N8">
        <v>20056</v>
      </c>
      <c r="Q8">
        <v>20056</v>
      </c>
    </row>
    <row r="9" spans="1:18" x14ac:dyDescent="0.3">
      <c r="A9">
        <v>20054</v>
      </c>
      <c r="B9" s="1">
        <v>41674</v>
      </c>
      <c r="C9" t="s">
        <v>10</v>
      </c>
      <c r="E9">
        <v>20054</v>
      </c>
      <c r="F9">
        <f t="shared" si="0"/>
        <v>885</v>
      </c>
      <c r="H9">
        <v>20057</v>
      </c>
      <c r="N9">
        <v>20057</v>
      </c>
      <c r="O9">
        <v>1270</v>
      </c>
      <c r="Q9">
        <v>20057</v>
      </c>
    </row>
    <row r="10" spans="1:18" x14ac:dyDescent="0.3">
      <c r="A10">
        <v>20055</v>
      </c>
      <c r="B10" s="1">
        <v>41675</v>
      </c>
      <c r="C10" t="s">
        <v>3</v>
      </c>
      <c r="E10">
        <v>20055</v>
      </c>
      <c r="F10">
        <f t="shared" si="0"/>
        <v>398</v>
      </c>
      <c r="H10">
        <v>20058</v>
      </c>
      <c r="I10">
        <v>885</v>
      </c>
      <c r="N10">
        <v>20058</v>
      </c>
      <c r="Q10">
        <v>20058</v>
      </c>
    </row>
    <row r="11" spans="1:18" x14ac:dyDescent="0.3">
      <c r="A11">
        <v>20056</v>
      </c>
      <c r="B11" s="1">
        <v>41676</v>
      </c>
      <c r="C11" t="s">
        <v>7</v>
      </c>
      <c r="E11">
        <v>20056</v>
      </c>
      <c r="F11">
        <f t="shared" si="0"/>
        <v>644</v>
      </c>
    </row>
    <row r="12" spans="1:18" x14ac:dyDescent="0.3">
      <c r="A12">
        <v>20056</v>
      </c>
      <c r="B12" s="1">
        <v>41676</v>
      </c>
      <c r="C12" t="s">
        <v>11</v>
      </c>
      <c r="E12">
        <v>20056</v>
      </c>
      <c r="F12">
        <f t="shared" si="0"/>
        <v>644</v>
      </c>
    </row>
    <row r="15" spans="1:18" x14ac:dyDescent="0.3">
      <c r="E15">
        <v>20050</v>
      </c>
      <c r="F15">
        <f>IF(IF(VLOOKUP(E15,$H$2:$J$10,2,0)=0,VLOOKUP(E15,$N$2:$P$10,2,0),VLOOKUP(E15,$H$2:$J$10,2,0))=0,VLOOKUP(E15,$Q$2:$R$10,2,0),IF(VLOOKUP(E15,$H$2:$J$10,2,0)=0,VLOOKUP(E15,$N$2:$P$10,2,0),VLOOKUP(E15,$H$2:$J$10,2,0)))</f>
        <v>447</v>
      </c>
      <c r="I15">
        <v>20050</v>
      </c>
      <c r="J15">
        <v>447</v>
      </c>
      <c r="L15">
        <v>20050</v>
      </c>
      <c r="O15">
        <v>20050</v>
      </c>
    </row>
    <row r="16" spans="1:18" x14ac:dyDescent="0.3">
      <c r="E16">
        <v>20050</v>
      </c>
      <c r="F16">
        <f t="shared" ref="F16:F25" si="1">IF(IF(VLOOKUP(E16,$H$2:$J$10,2,0)=0,VLOOKUP(E16,$N$2:$P$10,2,0),VLOOKUP(E16,$H$2:$J$10,2,0))=0,VLOOKUP(E16,$Q$2:$R$10,2,0),IF(VLOOKUP(E16,$H$2:$J$10,2,0)=0,VLOOKUP(E16,$N$2:$P$10,2,0),VLOOKUP(E16,$H$2:$J$10,2,0)))</f>
        <v>447</v>
      </c>
      <c r="I16">
        <v>20051</v>
      </c>
      <c r="L16">
        <v>20051</v>
      </c>
      <c r="O16">
        <v>20051</v>
      </c>
      <c r="P16">
        <v>398</v>
      </c>
    </row>
    <row r="17" spans="5:16" x14ac:dyDescent="0.3">
      <c r="E17">
        <v>20051</v>
      </c>
      <c r="F17">
        <f t="shared" si="1"/>
        <v>398</v>
      </c>
      <c r="I17">
        <v>20052</v>
      </c>
      <c r="L17">
        <v>20052</v>
      </c>
      <c r="M17">
        <v>1006</v>
      </c>
      <c r="O17">
        <v>20052</v>
      </c>
    </row>
    <row r="18" spans="5:16" x14ac:dyDescent="0.3">
      <c r="E18">
        <v>20052</v>
      </c>
      <c r="F18">
        <f t="shared" si="1"/>
        <v>1006</v>
      </c>
      <c r="I18">
        <v>20053</v>
      </c>
      <c r="J18">
        <v>447</v>
      </c>
      <c r="L18">
        <v>20053</v>
      </c>
      <c r="O18">
        <v>20053</v>
      </c>
    </row>
    <row r="19" spans="5:16" x14ac:dyDescent="0.3">
      <c r="E19">
        <v>20052</v>
      </c>
      <c r="F19">
        <f t="shared" si="1"/>
        <v>1006</v>
      </c>
      <c r="I19">
        <v>20054</v>
      </c>
      <c r="J19">
        <v>885</v>
      </c>
      <c r="L19">
        <v>20054</v>
      </c>
      <c r="O19">
        <v>20054</v>
      </c>
    </row>
    <row r="20" spans="5:16" x14ac:dyDescent="0.3">
      <c r="E20">
        <v>20052</v>
      </c>
      <c r="F20">
        <f t="shared" si="1"/>
        <v>1006</v>
      </c>
      <c r="I20">
        <v>20055</v>
      </c>
      <c r="L20">
        <v>20055</v>
      </c>
      <c r="O20">
        <v>20055</v>
      </c>
      <c r="P20">
        <v>398</v>
      </c>
    </row>
    <row r="21" spans="5:16" x14ac:dyDescent="0.3">
      <c r="E21">
        <v>20053</v>
      </c>
      <c r="F21">
        <f t="shared" si="1"/>
        <v>447</v>
      </c>
      <c r="I21">
        <v>20056</v>
      </c>
      <c r="J21">
        <v>644</v>
      </c>
      <c r="L21">
        <v>20056</v>
      </c>
      <c r="O21">
        <v>20056</v>
      </c>
    </row>
    <row r="22" spans="5:16" x14ac:dyDescent="0.3">
      <c r="E22">
        <v>20054</v>
      </c>
      <c r="F22">
        <f t="shared" si="1"/>
        <v>885</v>
      </c>
      <c r="I22">
        <v>20057</v>
      </c>
      <c r="L22">
        <v>20057</v>
      </c>
      <c r="M22">
        <v>1270</v>
      </c>
      <c r="O22">
        <v>20057</v>
      </c>
    </row>
    <row r="23" spans="5:16" x14ac:dyDescent="0.3">
      <c r="E23">
        <v>20055</v>
      </c>
      <c r="F23">
        <f t="shared" si="1"/>
        <v>398</v>
      </c>
      <c r="I23">
        <v>20058</v>
      </c>
      <c r="J23">
        <v>885</v>
      </c>
      <c r="L23">
        <v>20058</v>
      </c>
      <c r="O23">
        <v>20058</v>
      </c>
    </row>
    <row r="24" spans="5:16" x14ac:dyDescent="0.3">
      <c r="E24">
        <v>20056</v>
      </c>
      <c r="F24">
        <f t="shared" si="1"/>
        <v>644</v>
      </c>
    </row>
    <row r="25" spans="5:16" x14ac:dyDescent="0.3">
      <c r="E25">
        <v>20056</v>
      </c>
      <c r="F25">
        <f t="shared" si="1"/>
        <v>644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AC9A-4152-4CF6-9788-18C628648F28}">
  <dimension ref="C3:I17"/>
  <sheetViews>
    <sheetView tabSelected="1" workbookViewId="0">
      <selection activeCell="I9" sqref="I9"/>
    </sheetView>
  </sheetViews>
  <sheetFormatPr defaultRowHeight="14.4" x14ac:dyDescent="0.3"/>
  <cols>
    <col min="3" max="3" width="17.44140625" bestFit="1" customWidth="1"/>
    <col min="8" max="8" width="17.44140625" bestFit="1" customWidth="1"/>
  </cols>
  <sheetData>
    <row r="3" spans="3:9" x14ac:dyDescent="0.3">
      <c r="H3" t="s">
        <v>12</v>
      </c>
      <c r="I3">
        <f ca="1">SUMIF(C4:D17,H3,D4:D17)</f>
        <v>10</v>
      </c>
    </row>
    <row r="4" spans="3:9" x14ac:dyDescent="0.3">
      <c r="C4" t="s">
        <v>12</v>
      </c>
      <c r="D4">
        <v>2</v>
      </c>
      <c r="H4" t="s">
        <v>13</v>
      </c>
      <c r="I4">
        <f t="shared" ref="I4:I6" ca="1" si="0">SUMIF(C5:D18,H4,D5:D18)</f>
        <v>10</v>
      </c>
    </row>
    <row r="5" spans="3:9" x14ac:dyDescent="0.3">
      <c r="C5" t="s">
        <v>13</v>
      </c>
      <c r="D5">
        <v>5</v>
      </c>
      <c r="H5" t="s">
        <v>14</v>
      </c>
      <c r="I5">
        <f t="shared" ca="1" si="0"/>
        <v>2</v>
      </c>
    </row>
    <row r="6" spans="3:9" x14ac:dyDescent="0.3">
      <c r="C6" t="s">
        <v>14</v>
      </c>
      <c r="D6">
        <v>1</v>
      </c>
      <c r="H6" t="s">
        <v>15</v>
      </c>
      <c r="I6">
        <f t="shared" ca="1" si="0"/>
        <v>3</v>
      </c>
    </row>
    <row r="9" spans="3:9" x14ac:dyDescent="0.3">
      <c r="C9" t="s">
        <v>12</v>
      </c>
      <c r="D9">
        <v>7</v>
      </c>
    </row>
    <row r="10" spans="3:9" x14ac:dyDescent="0.3">
      <c r="C10" t="s">
        <v>13</v>
      </c>
      <c r="D10">
        <v>3</v>
      </c>
    </row>
    <row r="11" spans="3:9" x14ac:dyDescent="0.3">
      <c r="C11" t="s">
        <v>14</v>
      </c>
      <c r="D11">
        <v>1</v>
      </c>
    </row>
    <row r="12" spans="3:9" x14ac:dyDescent="0.3">
      <c r="C12" t="s">
        <v>15</v>
      </c>
      <c r="D12">
        <v>2</v>
      </c>
    </row>
    <row r="15" spans="3:9" x14ac:dyDescent="0.3">
      <c r="C15" t="s">
        <v>12</v>
      </c>
      <c r="D15">
        <v>1</v>
      </c>
    </row>
    <row r="16" spans="3:9" x14ac:dyDescent="0.3">
      <c r="C16" t="s">
        <v>15</v>
      </c>
      <c r="D16">
        <v>1</v>
      </c>
    </row>
    <row r="17" spans="3:4" x14ac:dyDescent="0.3">
      <c r="C17" t="s">
        <v>13</v>
      </c>
      <c r="D17">
        <v>2</v>
      </c>
    </row>
  </sheetData>
  <dataConsolidate function="var">
    <dataRefs count="3">
      <dataRef ref="C4:D6" sheet="Лист2"/>
      <dataRef ref="C9:D12" sheet="Лист2"/>
      <dataRef ref="C15:D17" sheet="Лист2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Жариков</dc:creator>
  <cp:lastModifiedBy>Артем Жариков</cp:lastModifiedBy>
  <dcterms:created xsi:type="dcterms:W3CDTF">2021-05-20T18:00:30Z</dcterms:created>
  <dcterms:modified xsi:type="dcterms:W3CDTF">2021-12-26T13:12:13Z</dcterms:modified>
</cp:coreProperties>
</file>